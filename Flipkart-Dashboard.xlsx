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DASHBOARD" sheetId="2" r:id="rId6"/>
  </sheets>
  <definedNames>
    <definedName hidden="1" localSheetId="0" name="Z_E502E49F_227E_41D5_B01B_561546B5A333_.wvu.FilterData">Sheet1!$A$1:$I$16</definedName>
    <definedName name="SlicerCache_Table_1_Col_1">#N/A</definedName>
    <definedName name="SlicerCache_Table_1_Col_2">#N/A</definedName>
    <definedName name="SlicerCache_Table_1_Col_3">#N/A</definedName>
    <definedName name="SlicerCache_Table_1_Col_4">#N/A</definedName>
    <definedName name="SlicerCache_Table_1_Col_6">#N/A</definedName>
  </definedNames>
  <calcPr/>
  <customWorkbookViews>
    <customWorkbookView activeSheetId="0" maximized="1" windowHeight="0" windowWidth="0" guid="{E502E49F-227E-41D5-B01B-561546B5A333}" name="Filter 1"/>
  </customWorkbookViews>
  <extLst>
    <ext uri="{46BE6895-7355-4a93-B00E-2C351335B9C9}">
      <x15:slicerCaches>
        <x14:slicerCache r:id="rId7"/>
        <x14:slicerCache r:id="rId8"/>
        <x14:slicerCache r:id="rId9"/>
        <x14:slicerCache r:id="rId10"/>
        <x14:slicerCache r:id="rId11"/>
      </x15:slicerCaches>
    </ext>
  </extLst>
</workbook>
</file>

<file path=xl/sharedStrings.xml><?xml version="1.0" encoding="utf-8"?>
<sst xmlns="http://schemas.openxmlformats.org/spreadsheetml/2006/main" count="74" uniqueCount="30">
  <si>
    <t>DATA</t>
  </si>
  <si>
    <t>STATE</t>
  </si>
  <si>
    <t>CATEGORY</t>
  </si>
  <si>
    <t>PAYMENT</t>
  </si>
  <si>
    <t>STATUS</t>
  </si>
  <si>
    <t>GROSS SALES</t>
  </si>
  <si>
    <t>DISCOUNT</t>
  </si>
  <si>
    <t>NET SALES</t>
  </si>
  <si>
    <t>PROFIT</t>
  </si>
  <si>
    <t>YEAR</t>
  </si>
  <si>
    <t>tamil nadu</t>
  </si>
  <si>
    <t>fashion</t>
  </si>
  <si>
    <t>upi</t>
  </si>
  <si>
    <t>delivered</t>
  </si>
  <si>
    <t>kerala</t>
  </si>
  <si>
    <t>electronic</t>
  </si>
  <si>
    <t>card</t>
  </si>
  <si>
    <t>karnataka</t>
  </si>
  <si>
    <t>home</t>
  </si>
  <si>
    <t>cod</t>
  </si>
  <si>
    <t>shipped</t>
  </si>
  <si>
    <t>andhra pradesh</t>
  </si>
  <si>
    <t>beauty</t>
  </si>
  <si>
    <t>telangana</t>
  </si>
  <si>
    <t>pending</t>
  </si>
  <si>
    <t>kitchen</t>
  </si>
  <si>
    <t>13-07-2026</t>
  </si>
  <si>
    <t>14-07-2026</t>
  </si>
  <si>
    <t>15-07-2026</t>
  </si>
  <si>
    <t>FLIPKARD DASHBOARD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</si>
</sst>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mm-yyyy"/>
  </numFmts>
  <fonts count="5">
    <font>
      <sz val="10.0"/>
      <color rgb="FF000000"/>
      <name val="Arial"/>
      <scheme val="minor"/>
    </font>
    <font>
      <b/>
      <color theme="1"/>
      <name val="Arial"/>
      <scheme val="minor"/>
    </font>
    <font>
      <color theme="1"/>
      <name val="Arial"/>
      <scheme val="minor"/>
    </font>
    <font>
      <b/>
      <sz val="19.0"/>
      <color rgb="FF000000"/>
      <name val="Arial"/>
      <scheme val="minor"/>
    </font>
    <font>
      <b/>
      <sz val="17.0"/>
      <color rgb="FF000000"/>
      <name val="Arial"/>
      <scheme val="minor"/>
    </font>
  </fonts>
  <fills count="4">
    <fill>
      <patternFill patternType="none"/>
    </fill>
    <fill>
      <patternFill patternType="lightGray"/>
    </fill>
    <fill>
      <patternFill patternType="solid">
        <fgColor rgb="FFFFFF00"/>
        <bgColor rgb="FFFFFF00"/>
      </patternFill>
    </fill>
    <fill>
      <patternFill patternType="solid">
        <fgColor theme="0"/>
        <bgColor theme="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Font="1"/>
    <xf borderId="0" fillId="0" fontId="2" numFmtId="165" xfId="0" applyAlignment="1" applyFont="1" applyNumberFormat="1">
      <alignment readingOrder="0"/>
    </xf>
    <xf borderId="0" fillId="2" fontId="3" numFmtId="0" xfId="0" applyAlignment="1" applyFill="1" applyFont="1">
      <alignment horizontal="right" readingOrder="0" vertical="center"/>
    </xf>
    <xf borderId="0" fillId="2" fontId="4" numFmtId="0" xfId="0" applyAlignment="1" applyFont="1">
      <alignment horizontal="center" readingOrder="0" vertical="center"/>
    </xf>
    <xf borderId="0" fillId="3" fontId="2"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5.xml"/><Relationship Id="rId10" Type="http://schemas.microsoft.com/office/2007/relationships/slicerCache" Target="slicerCaches/slicerCache4.xml"/><Relationship Id="rId9"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0" Type="http://schemas.openxmlformats.org/officeDocument/2006/relationships/image" Target="../media/Chart10.pn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542925</xdr:rowOff>
    </xdr:from>
    <xdr:ext cx="2257425" cy="714375"/>
    <xdr:pic>
      <xdr:nvPicPr>
        <xdr:cNvPr id="14467735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266700</xdr:colOff>
      <xdr:row>1</xdr:row>
      <xdr:rowOff>552450</xdr:rowOff>
    </xdr:from>
    <xdr:ext cx="2114550" cy="714375"/>
    <xdr:pic>
      <xdr:nvPicPr>
        <xdr:cNvPr id="454101072"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590550</xdr:colOff>
      <xdr:row>1</xdr:row>
      <xdr:rowOff>552450</xdr:rowOff>
    </xdr:from>
    <xdr:ext cx="2162175" cy="714375"/>
    <xdr:pic>
      <xdr:nvPicPr>
        <xdr:cNvPr id="1270121794"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219075</xdr:colOff>
      <xdr:row>1</xdr:row>
      <xdr:rowOff>495300</xdr:rowOff>
    </xdr:from>
    <xdr:ext cx="2257425" cy="714375"/>
    <xdr:pic>
      <xdr:nvPicPr>
        <xdr:cNvPr id="380171110"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485775</xdr:colOff>
      <xdr:row>1</xdr:row>
      <xdr:rowOff>495300</xdr:rowOff>
    </xdr:from>
    <xdr:ext cx="2257425" cy="714375"/>
    <xdr:pic>
      <xdr:nvPicPr>
        <xdr:cNvPr id="59227860"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161925</xdr:colOff>
      <xdr:row>5</xdr:row>
      <xdr:rowOff>142875</xdr:rowOff>
    </xdr:from>
    <xdr:ext cx="4324350" cy="1771650"/>
    <xdr:pic>
      <xdr:nvPicPr>
        <xdr:cNvPr id="724723223"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581025</xdr:colOff>
      <xdr:row>6</xdr:row>
      <xdr:rowOff>9525</xdr:rowOff>
    </xdr:from>
    <xdr:ext cx="4324350" cy="1771650"/>
    <xdr:pic>
      <xdr:nvPicPr>
        <xdr:cNvPr id="846658163"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190500</xdr:colOff>
      <xdr:row>5</xdr:row>
      <xdr:rowOff>152400</xdr:rowOff>
    </xdr:from>
    <xdr:ext cx="4324350" cy="1704975"/>
    <xdr:pic>
      <xdr:nvPicPr>
        <xdr:cNvPr id="1293017109"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200025</xdr:colOff>
      <xdr:row>14</xdr:row>
      <xdr:rowOff>171450</xdr:rowOff>
    </xdr:from>
    <xdr:ext cx="4248150" cy="1771650"/>
    <xdr:pic>
      <xdr:nvPicPr>
        <xdr:cNvPr id="1591071243"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638175</xdr:colOff>
      <xdr:row>14</xdr:row>
      <xdr:rowOff>171450</xdr:rowOff>
    </xdr:from>
    <xdr:ext cx="9677400" cy="1771650"/>
    <xdr:pic>
      <xdr:nvPicPr>
        <xdr:cNvPr id="1594093995"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200025</xdr:colOff>
      <xdr:row>1</xdr:row>
      <xdr:rowOff>28575</xdr:rowOff>
    </xdr:from>
    <xdr:ext cx="2047875" cy="2857500"/>
    <mc:AlternateContent>
      <mc:Choice Requires="sle15">
        <xdr:graphicFrame>
          <xdr:nvGraphicFramePr>
            <xdr:cNvPr id="1" name="DATA_1"/>
            <xdr:cNvGraphicFramePr/>
          </xdr:nvGraphicFramePr>
          <xdr:xfrm>
            <a:off x="0" y="0"/>
            <a:ext cx="0" cy="0"/>
          </xdr:xfrm>
          <a:graphic>
            <a:graphicData uri="http://schemas.microsoft.com/office/drawing/2010/slicer">
              <x3Unk:slicer name="DAT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295275</xdr:colOff>
      <xdr:row>1</xdr:row>
      <xdr:rowOff>28575</xdr:rowOff>
    </xdr:from>
    <xdr:ext cx="2047875" cy="2857500"/>
    <mc:AlternateContent>
      <mc:Choice Requires="sle15">
        <xdr:graphicFrame>
          <xdr:nvGraphicFramePr>
            <xdr:cNvPr id="2" name="STATE_2"/>
            <xdr:cNvGraphicFramePr/>
          </xdr:nvGraphicFramePr>
          <xdr:xfrm>
            <a:off x="0" y="0"/>
            <a:ext cx="0" cy="0"/>
          </xdr:xfrm>
          <a:graphic>
            <a:graphicData uri="http://schemas.microsoft.com/office/drawing/2010/slicer">
              <x3Unk:slicer name="STAT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581025</xdr:colOff>
      <xdr:row>1</xdr:row>
      <xdr:rowOff>28575</xdr:rowOff>
    </xdr:from>
    <xdr:ext cx="2324100" cy="2857500"/>
    <mc:AlternateContent>
      <mc:Choice Requires="sle15">
        <xdr:graphicFrame>
          <xdr:nvGraphicFramePr>
            <xdr:cNvPr id="3" name="PAYMENT_3"/>
            <xdr:cNvGraphicFramePr/>
          </xdr:nvGraphicFramePr>
          <xdr:xfrm>
            <a:off x="0" y="0"/>
            <a:ext cx="0" cy="0"/>
          </xdr:xfrm>
          <a:graphic>
            <a:graphicData uri="http://schemas.microsoft.com/office/drawing/2010/slicer">
              <x3Unk:slicer name="PAYMEN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409575</xdr:colOff>
      <xdr:row>1</xdr:row>
      <xdr:rowOff>19050</xdr:rowOff>
    </xdr:from>
    <xdr:ext cx="2162175" cy="2857500"/>
    <mc:AlternateContent>
      <mc:Choice Requires="sle15">
        <xdr:graphicFrame>
          <xdr:nvGraphicFramePr>
            <xdr:cNvPr id="4" name="CATEGORY_4"/>
            <xdr:cNvGraphicFramePr/>
          </xdr:nvGraphicFramePr>
          <xdr:xfrm>
            <a:off x="0" y="0"/>
            <a:ext cx="0" cy="0"/>
          </xdr:xfrm>
          <a:graphic>
            <a:graphicData uri="http://schemas.microsoft.com/office/drawing/2010/slicer">
              <x3Unk:slicer name="CATEGO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13</xdr:col>
      <xdr:colOff>581025</xdr:colOff>
      <xdr:row>1</xdr:row>
      <xdr:rowOff>28575</xdr:rowOff>
    </xdr:from>
    <xdr:ext cx="2162175" cy="2857500"/>
    <mc:AlternateContent>
      <mc:Choice Requires="sle15">
        <xdr:graphicFrame>
          <xdr:nvGraphicFramePr>
            <xdr:cNvPr id="5" name="GROSS SALES_5"/>
            <xdr:cNvGraphicFramePr/>
          </xdr:nvGraphicFramePr>
          <xdr:xfrm>
            <a:off x="0" y="0"/>
            <a:ext cx="0" cy="0"/>
          </xdr:xfrm>
          <a:graphic>
            <a:graphicData uri="http://schemas.microsoft.com/office/drawing/2010/slicer">
              <x3Unk:slicer name="GROSS SALES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DATA">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STATE">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ATEGORY">
  <x14:extLst>
    <ext uri="{2F2917AC-EB37-4324-AD4E-5DD8C200BD13}">
      <x15:tableSlicerCache tableId="1"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PAYMENT">
  <x14:extLst>
    <ext uri="{2F2917AC-EB37-4324-AD4E-5DD8C200BD13}">
      <x15:tableSlicerCache tableId="1" column="4"/>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GROSS SALES">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ATA_1" cache="SlicerCache_Table_1_Col_1" caption="DATA" rowHeight="247650"/>
  <x14:slicer name="STATE_2" cache="SlicerCache_Table_1_Col_2" caption="STATE" rowHeight="247650"/>
  <x14:slicer name="PAYMENT_3" cache="SlicerCache_Table_1_Col_4" caption="PAYMENT" rowHeight="247650"/>
  <x14:slicer name="CATEGORY_4" cache="SlicerCache_Table_1_Col_3" caption="CATEGORY" rowHeight="247650"/>
  <x14:slicer name="GROSS SALES_5" cache="SlicerCache_Table_1_Col_6" caption="GROSS SALES" rowHeight="247650"/>
</x14:slicers>
</file>

<file path=xl/tables/table1.xml><?xml version="1.0" encoding="utf-8"?>
<table xmlns="http://schemas.openxmlformats.org/spreadsheetml/2006/main" ref="A1:I16" displayName="Table_1" name="Table_1" id="1">
  <autoFilter ref="$A$1:$I$16"/>
  <tableColumns count="9">
    <tableColumn name="DATA" id="1"/>
    <tableColumn name="STATE" id="2"/>
    <tableColumn name="CATEGORY" id="3"/>
    <tableColumn name="PAYMENT" id="4"/>
    <tableColumn name="STATUS" id="5"/>
    <tableColumn name="GROSS SALES" id="6"/>
    <tableColumn name="DISCOUNT" id="7"/>
    <tableColumn name="NET SALES" id="8"/>
    <tableColumn name="PROFIT"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2">
        <v>46029.0</v>
      </c>
      <c r="B2" s="3" t="s">
        <v>10</v>
      </c>
      <c r="C2" s="3" t="s">
        <v>11</v>
      </c>
      <c r="D2" s="3" t="s">
        <v>12</v>
      </c>
      <c r="E2" s="3" t="s">
        <v>13</v>
      </c>
      <c r="F2" s="3">
        <v>5000.0</v>
      </c>
      <c r="G2" s="3">
        <v>500.0</v>
      </c>
      <c r="H2" s="3">
        <v>4500.0</v>
      </c>
      <c r="I2" s="4">
        <f t="shared" ref="I2:I16" si="1">H2*20%</f>
        <v>900</v>
      </c>
      <c r="J2" s="5">
        <v>46327.0</v>
      </c>
    </row>
    <row r="3">
      <c r="A3" s="2">
        <v>46060.0</v>
      </c>
      <c r="B3" s="3" t="s">
        <v>14</v>
      </c>
      <c r="C3" s="3" t="s">
        <v>15</v>
      </c>
      <c r="D3" s="3" t="s">
        <v>16</v>
      </c>
      <c r="E3" s="3" t="s">
        <v>13</v>
      </c>
      <c r="F3" s="3">
        <v>8000.0</v>
      </c>
      <c r="G3" s="3">
        <v>800.0</v>
      </c>
      <c r="H3" s="3">
        <v>7200.0</v>
      </c>
      <c r="I3" s="4">
        <f t="shared" si="1"/>
        <v>1440</v>
      </c>
      <c r="J3" s="5">
        <v>46357.0</v>
      </c>
    </row>
    <row r="4">
      <c r="A4" s="2">
        <v>46088.0</v>
      </c>
      <c r="B4" s="3" t="s">
        <v>17</v>
      </c>
      <c r="C4" s="3" t="s">
        <v>18</v>
      </c>
      <c r="D4" s="3" t="s">
        <v>19</v>
      </c>
      <c r="E4" s="3" t="s">
        <v>20</v>
      </c>
      <c r="F4" s="3">
        <v>6000.0</v>
      </c>
      <c r="G4" s="3">
        <v>600.0</v>
      </c>
      <c r="H4" s="3">
        <v>5400.0</v>
      </c>
      <c r="I4" s="4">
        <f t="shared" si="1"/>
        <v>1080</v>
      </c>
      <c r="J4" s="5">
        <v>46023.0</v>
      </c>
    </row>
    <row r="5">
      <c r="A5" s="2">
        <v>46119.0</v>
      </c>
      <c r="B5" s="3" t="s">
        <v>21</v>
      </c>
      <c r="C5" s="3" t="s">
        <v>22</v>
      </c>
      <c r="D5" s="3" t="s">
        <v>12</v>
      </c>
      <c r="E5" s="3" t="s">
        <v>13</v>
      </c>
      <c r="F5" s="3">
        <v>4000.0</v>
      </c>
      <c r="G5" s="3">
        <v>400.0</v>
      </c>
      <c r="H5" s="3">
        <v>3600.0</v>
      </c>
      <c r="I5" s="4">
        <f t="shared" si="1"/>
        <v>720</v>
      </c>
      <c r="J5" s="5">
        <v>46054.0</v>
      </c>
    </row>
    <row r="6">
      <c r="A6" s="2">
        <v>46149.0</v>
      </c>
      <c r="B6" s="3" t="s">
        <v>23</v>
      </c>
      <c r="C6" s="3" t="s">
        <v>11</v>
      </c>
      <c r="D6" s="3" t="s">
        <v>16</v>
      </c>
      <c r="E6" s="3" t="s">
        <v>24</v>
      </c>
      <c r="F6" s="3">
        <v>7000.0</v>
      </c>
      <c r="G6" s="3">
        <v>700.0</v>
      </c>
      <c r="H6" s="3">
        <v>6300.0</v>
      </c>
      <c r="I6" s="4">
        <f t="shared" si="1"/>
        <v>1260</v>
      </c>
      <c r="J6" s="5">
        <v>46357.0</v>
      </c>
    </row>
    <row r="7">
      <c r="A7" s="2">
        <v>46180.0</v>
      </c>
      <c r="B7" s="3" t="s">
        <v>10</v>
      </c>
      <c r="C7" s="3" t="s">
        <v>25</v>
      </c>
      <c r="D7" s="3" t="s">
        <v>19</v>
      </c>
      <c r="E7" s="3" t="s">
        <v>13</v>
      </c>
      <c r="F7" s="3">
        <v>5500.0</v>
      </c>
      <c r="G7" s="3">
        <v>500.0</v>
      </c>
      <c r="H7" s="3">
        <v>5000.0</v>
      </c>
      <c r="I7" s="4">
        <f t="shared" si="1"/>
        <v>1000</v>
      </c>
      <c r="J7" s="5">
        <v>46266.0</v>
      </c>
    </row>
    <row r="8">
      <c r="A8" s="2">
        <v>46210.0</v>
      </c>
      <c r="B8" s="3" t="s">
        <v>14</v>
      </c>
      <c r="C8" s="3" t="s">
        <v>18</v>
      </c>
      <c r="D8" s="3" t="s">
        <v>12</v>
      </c>
      <c r="E8" s="3" t="s">
        <v>20</v>
      </c>
      <c r="F8" s="3">
        <v>6500.0</v>
      </c>
      <c r="G8" s="3">
        <v>650.0</v>
      </c>
      <c r="H8" s="3">
        <v>5850.0</v>
      </c>
      <c r="I8" s="4">
        <f t="shared" si="1"/>
        <v>1170</v>
      </c>
      <c r="J8" s="5">
        <v>46296.0</v>
      </c>
    </row>
    <row r="9">
      <c r="A9" s="2">
        <v>46241.0</v>
      </c>
      <c r="B9" s="3" t="s">
        <v>17</v>
      </c>
      <c r="C9" s="3" t="s">
        <v>15</v>
      </c>
      <c r="D9" s="3" t="s">
        <v>16</v>
      </c>
      <c r="E9" s="3" t="s">
        <v>13</v>
      </c>
      <c r="F9" s="3">
        <v>9000.0</v>
      </c>
      <c r="G9" s="3">
        <v>900.0</v>
      </c>
      <c r="H9" s="3">
        <v>8100.0</v>
      </c>
      <c r="I9" s="4">
        <f t="shared" si="1"/>
        <v>1620</v>
      </c>
      <c r="J9" s="5">
        <v>46113.0</v>
      </c>
    </row>
    <row r="10">
      <c r="A10" s="2">
        <v>46272.0</v>
      </c>
      <c r="B10" s="3" t="s">
        <v>21</v>
      </c>
      <c r="C10" s="3" t="s">
        <v>11</v>
      </c>
      <c r="D10" s="3" t="s">
        <v>19</v>
      </c>
      <c r="E10" s="3" t="s">
        <v>13</v>
      </c>
      <c r="F10" s="3">
        <v>4500.0</v>
      </c>
      <c r="G10" s="3">
        <v>450.0</v>
      </c>
      <c r="H10" s="3">
        <v>4050.0</v>
      </c>
      <c r="I10" s="4">
        <f t="shared" si="1"/>
        <v>810</v>
      </c>
      <c r="J10" s="5">
        <v>46235.0</v>
      </c>
    </row>
    <row r="11">
      <c r="A11" s="2">
        <v>46302.0</v>
      </c>
      <c r="B11" s="3" t="s">
        <v>23</v>
      </c>
      <c r="C11" s="3" t="s">
        <v>22</v>
      </c>
      <c r="D11" s="3" t="s">
        <v>12</v>
      </c>
      <c r="E11" s="3" t="s">
        <v>20</v>
      </c>
      <c r="F11" s="3">
        <v>5200.0</v>
      </c>
      <c r="G11" s="3">
        <v>520.0</v>
      </c>
      <c r="H11" s="3">
        <v>4680.0</v>
      </c>
      <c r="I11" s="4">
        <f t="shared" si="1"/>
        <v>936</v>
      </c>
      <c r="J11" s="5">
        <v>46266.0</v>
      </c>
    </row>
    <row r="12">
      <c r="A12" s="2">
        <v>46333.0</v>
      </c>
      <c r="B12" s="3" t="s">
        <v>10</v>
      </c>
      <c r="C12" s="3" t="s">
        <v>25</v>
      </c>
      <c r="D12" s="3" t="s">
        <v>16</v>
      </c>
      <c r="E12" s="3" t="s">
        <v>13</v>
      </c>
      <c r="F12" s="3">
        <v>6500.0</v>
      </c>
      <c r="G12" s="3">
        <v>480.0</v>
      </c>
      <c r="H12" s="3">
        <v>4320.0</v>
      </c>
      <c r="I12" s="4">
        <f t="shared" si="1"/>
        <v>864</v>
      </c>
    </row>
    <row r="13">
      <c r="A13" s="2">
        <v>46363.0</v>
      </c>
      <c r="B13" s="3" t="s">
        <v>14</v>
      </c>
      <c r="C13" s="3" t="s">
        <v>11</v>
      </c>
      <c r="D13" s="3" t="s">
        <v>19</v>
      </c>
      <c r="E13" s="3" t="s">
        <v>24</v>
      </c>
      <c r="F13" s="3">
        <v>9000.0</v>
      </c>
      <c r="G13" s="3">
        <v>750.0</v>
      </c>
      <c r="H13" s="3">
        <v>6750.0</v>
      </c>
      <c r="I13" s="4">
        <f t="shared" si="1"/>
        <v>1350</v>
      </c>
    </row>
    <row r="14">
      <c r="A14" s="3" t="s">
        <v>26</v>
      </c>
      <c r="B14" s="3" t="s">
        <v>17</v>
      </c>
      <c r="C14" s="3" t="s">
        <v>15</v>
      </c>
      <c r="D14" s="3" t="s">
        <v>12</v>
      </c>
      <c r="E14" s="3" t="s">
        <v>13</v>
      </c>
      <c r="F14" s="3">
        <v>4500.0</v>
      </c>
      <c r="G14" s="3">
        <v>820.0</v>
      </c>
      <c r="H14" s="3">
        <v>7380.0</v>
      </c>
      <c r="I14" s="4">
        <f t="shared" si="1"/>
        <v>1476</v>
      </c>
    </row>
    <row r="15">
      <c r="A15" s="3" t="s">
        <v>27</v>
      </c>
      <c r="B15" s="3" t="s">
        <v>21</v>
      </c>
      <c r="C15" s="3" t="s">
        <v>18</v>
      </c>
      <c r="D15" s="3" t="s">
        <v>16</v>
      </c>
      <c r="E15" s="3" t="s">
        <v>13</v>
      </c>
      <c r="F15" s="3">
        <v>5200.0</v>
      </c>
      <c r="G15" s="3">
        <v>610.0</v>
      </c>
      <c r="H15" s="3">
        <v>5490.0</v>
      </c>
      <c r="I15" s="4">
        <f t="shared" si="1"/>
        <v>1098</v>
      </c>
    </row>
    <row r="16">
      <c r="A16" s="3" t="s">
        <v>28</v>
      </c>
      <c r="B16" s="3" t="s">
        <v>23</v>
      </c>
      <c r="C16" s="3" t="s">
        <v>22</v>
      </c>
      <c r="D16" s="3" t="s">
        <v>19</v>
      </c>
      <c r="E16" s="3" t="s">
        <v>24</v>
      </c>
      <c r="F16" s="3">
        <v>4800.0</v>
      </c>
      <c r="G16" s="3">
        <v>430.0</v>
      </c>
      <c r="H16" s="3">
        <v>3870.0</v>
      </c>
      <c r="I16" s="4">
        <f t="shared" si="1"/>
        <v>774</v>
      </c>
    </row>
    <row r="19">
      <c r="F19" s="1"/>
    </row>
    <row r="36">
      <c r="A36" s="2"/>
    </row>
    <row r="37">
      <c r="A37" s="2"/>
    </row>
    <row r="38">
      <c r="A38" s="2"/>
    </row>
    <row r="39">
      <c r="A39" s="2"/>
    </row>
    <row r="40">
      <c r="A40" s="2"/>
    </row>
    <row r="41">
      <c r="A41" s="2"/>
    </row>
  </sheetData>
  <customSheetViews>
    <customSheetView guid="{E502E49F-227E-41D5-B01B-561546B5A333}" filter="1" showAutoFilter="1">
      <autoFilter ref="$A$1:$I$16"/>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27.75" customHeight="1">
      <c r="A1" s="6" t="s">
        <v>29</v>
      </c>
      <c r="I1" s="7"/>
      <c r="Q1" s="8"/>
      <c r="R1" s="8"/>
      <c r="S1" s="8"/>
      <c r="T1" s="8"/>
      <c r="U1" s="8"/>
      <c r="V1" s="8"/>
      <c r="W1" s="8"/>
      <c r="X1" s="8"/>
      <c r="Y1" s="8"/>
      <c r="Z1" s="8"/>
    </row>
    <row r="2" ht="51.0" customHeight="1">
      <c r="A2" s="8"/>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ht="21.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
    <mergeCell ref="A1:H1"/>
    <mergeCell ref="I1:P1"/>
  </mergeCells>
  <drawing r:id="rId1"/>
  <extLst>
    <ext uri="{3A4CF648-6AED-40f4-86FF-DC5316D8AED3}">
      <x14:slicerList>
        <x14:slicer r:id="rId2"/>
      </x14:slicerList>
    </ext>
  </extLst>
</worksheet>
</file>